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rol Mapping" sheetId="2" state="visible" r:id="rId4"/>
    <sheet name="Maturity Summary" sheetId="3" state="visible" r:id="rId5"/>
    <sheet name="Evidence Inde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<sst xmlns="http://schemas.openxmlformats.org/spreadsheetml/2006/main" count="268" uniqueCount="187">
  <si>
    <t xml:space="preserve">NIST CSF 2.0 Control Mapping — Home Lab</t>
  </si>
  <si>
    <t xml:space="preserve">Mapping of NIST Cybersecurity Framework 2.0 subcategories to technical controls implemented in a personal home lab (Wazuh SIEM + pfSense firewall)</t>
  </si>
  <si>
    <t xml:space="preserve">Prepared by:</t>
  </si>
  <si>
    <t xml:space="preserve">Zeeshan</t>
  </si>
  <si>
    <t xml:space="preserve">Framework version:</t>
  </si>
  <si>
    <t xml:space="preserve">NIST Cybersecurity Framework (CSF) 2.0 — published Feb 26, 2024</t>
  </si>
  <si>
    <t xml:space="preserve">Scope:</t>
  </si>
  <si>
    <t xml:space="preserve">Personal home lab — Wazuh 4.14.6 SIEM (endpoint: DESKTOP-E4J3CS6, Windows 10 Pro) and pfSense Community Edition 2.8.1 firewall</t>
  </si>
  <si>
    <t xml:space="preserve">Purpose:</t>
  </si>
  <si>
    <t xml:space="preserve">Demonstrate practical GRC control-mapping methodology: tie observed technical evidence to specific CSF 2.0 outcomes and score current maturity</t>
  </si>
  <si>
    <t xml:space="preserve">Subcategories mapped:</t>
  </si>
  <si>
    <t xml:space="preserve">18 (spanning all six CSF Functions: Govern, Identify, Protect, Detect, Respond, Recover)</t>
  </si>
  <si>
    <t xml:space="preserve">Maturity Rating Scale (0–4)</t>
  </si>
  <si>
    <t xml:space="preserve">Score</t>
  </si>
  <si>
    <t xml:space="preserve">Label</t>
  </si>
  <si>
    <t xml:space="preserve">Description</t>
  </si>
  <si>
    <t xml:space="preserve">Not Performed</t>
  </si>
  <si>
    <t xml:space="preserve">No evidence the outcome is achieved; no control observed in the lab</t>
  </si>
  <si>
    <t xml:space="preserve">Initial / Ad Hoc</t>
  </si>
  <si>
    <t xml:space="preserve">Control exists but is informal, inconsistent, or not actively configured</t>
  </si>
  <si>
    <t xml:space="preserve">Defined</t>
  </si>
  <si>
    <t xml:space="preserve">Control is implemented and repeatable, but coverage or scope is limited</t>
  </si>
  <si>
    <t xml:space="preserve">Managed</t>
  </si>
  <si>
    <t xml:space="preserve">Control is consistently applied, monitored, and produces reliable evidence</t>
  </si>
  <si>
    <t xml:space="preserve">Optimized</t>
  </si>
  <si>
    <t xml:space="preserve">Control is continuously improved, automated, and integrated with other controls</t>
  </si>
  <si>
    <t xml:space="preserve">Tabs in this workbook</t>
  </si>
  <si>
    <t xml:space="preserve">Control Mapping</t>
  </si>
  <si>
    <t xml:space="preserve">The core deliverable — 18 CSF 2.0 subcategories mapped to lab controls, evidence, and maturity scores</t>
  </si>
  <si>
    <t xml:space="preserve">Maturity Summary</t>
  </si>
  <si>
    <t xml:space="preserve">Roll-up of average maturity by CSF Function, with a chart, plus prioritized gap list</t>
  </si>
  <si>
    <t xml:space="preserve">Evidence Index</t>
  </si>
  <si>
    <t xml:space="preserve">Cross-reference of the 10 screenshots in the /evidence folder to the subcategories they support</t>
  </si>
  <si>
    <t xml:space="preserve">Note: This assessment reflects a single-endpoint personal lab, not a production environment. Several subcategories (particularly Govern and Respond/Recover) are scored 0 or 1 deliberately — the lab currently has no written policy, no incident response plan, and no backup/recovery process. These are flagged as gaps/next steps rather than omitted, to model a complete and honest CSF assessment.</t>
  </si>
  <si>
    <t xml:space="preserve">NIST CSF 2.0 Control Mapping — Home Lab (Wazuh + pfSense)</t>
  </si>
  <si>
    <t xml:space="preserve">#</t>
  </si>
  <si>
    <t xml:space="preserve">Function</t>
  </si>
  <si>
    <t xml:space="preserve">Subcategory ID</t>
  </si>
  <si>
    <t xml:space="preserve">Subcategory Description</t>
  </si>
  <si>
    <t xml:space="preserve">Lab Control Implemented</t>
  </si>
  <si>
    <t xml:space="preserve">Evidence File</t>
  </si>
  <si>
    <t xml:space="preserve">Maturity
(0-4)</t>
  </si>
  <si>
    <t xml:space="preserve">Maturity Rating</t>
  </si>
  <si>
    <t xml:space="preserve">Notes / Gap Identified</t>
  </si>
  <si>
    <t xml:space="preserve">GV</t>
  </si>
  <si>
    <t xml:space="preserve">GV.PO-01</t>
  </si>
  <si>
    <t xml:space="preserve">Policy for managing cybersecurity risks is established based on organizational context, cybersecurity strategy, and priorities and is communicated and enforced</t>
  </si>
  <si>
    <t xml:space="preserve">None observed — no written cybersecurity policy governs the lab</t>
  </si>
  <si>
    <t xml:space="preserve">N/A — gap</t>
  </si>
  <si>
    <t xml:space="preserve">GAP: No formal policy document exists for this lab. A separate Core Information Security Policy Suite (ISO 27001 / NIST CSF mapped) has been drafted for a fictional org as a portfolio exercise, but has not been applied to this environment. Recommended next step: adopt a lightweight lab-use policy covering access, patching, and logging.</t>
  </si>
  <si>
    <t xml:space="preserve">ID</t>
  </si>
  <si>
    <t xml:space="preserve">ID.AM-01</t>
  </si>
  <si>
    <t xml:space="preserve">Inventories of hardware managed by the organization are maintained</t>
  </si>
  <si>
    <t xml:space="preserve">Wazuh Endpoints module lists the single managed host (DESKTOP-E4J3CS6) with IP, OS, group, and agent version</t>
  </si>
  <si>
    <t xml:space="preserve">EV01_wazuh_agents_inventory.jpg</t>
  </si>
  <si>
    <t xml:space="preserve">Inventory exists and is auto-populated by the Wazuh agent, but covers only 1 of the lab's assets (Windows endpoint); pfSense host and any future VMs are not yet enrolled as Wazuh agents.</t>
  </si>
  <si>
    <t xml:space="preserve">ID.AM-02</t>
  </si>
  <si>
    <t xml:space="preserve">Inventories of software, services, and systems managed by the organization are maintained</t>
  </si>
  <si>
    <t xml:space="preserve">pfSense Package Manager (Available/Installed Packages) shows software present on the firewall appliance</t>
  </si>
  <si>
    <t xml:space="preserve">EV02_pfsense_package_manager.jpg</t>
  </si>
  <si>
    <t xml:space="preserve">Covers pfSense add-on packages only; there is no consolidated software inventory across the endpoint and the firewall (e.g., no Wazuh syscollector-based software inventory reviewed yet).</t>
  </si>
  <si>
    <t xml:space="preserve">ID.RA-01</t>
  </si>
  <si>
    <t xml:space="preserve">Vulnerabilities in assets are identified, validated, and recorded</t>
  </si>
  <si>
    <t xml:space="preserve">Wazuh Vulnerability Detection module is enabled on the platform overview</t>
  </si>
  <si>
    <t xml:space="preserve">EV03_wazuh_overview_dashboard.jpg</t>
  </si>
  <si>
    <t xml:space="preserve">Module is present and licensed but not actively generating/reviewed findings in this build. GAP: enable and baseline vulnerability scanning against the Windows endpoint.</t>
  </si>
  <si>
    <t xml:space="preserve">ID.IM-01</t>
  </si>
  <si>
    <t xml:space="preserve">Improvements are identified from evaluations</t>
  </si>
  <si>
    <t xml:space="preserve">Wazuh SCA scan against the CIS Microsoft Windows 10 Enterprise Benchmark v4.0.0 (424 checks: 117 passed / 302 failed / 5 N/A, 27% score)</t>
  </si>
  <si>
    <t xml:space="preserve">EV04_wazuh_sca_cis_benchmark.jpg</t>
  </si>
  <si>
    <t xml:space="preserve">A concrete, benchmark-based evaluation exists and clearly surfaces hardening gaps (73% of checks failing). Improvement actions have been identified but not yet remediated — score reflects identification, not remediation.</t>
  </si>
  <si>
    <t xml:space="preserve">PR</t>
  </si>
  <si>
    <t xml:space="preserve">PR.AA-01</t>
  </si>
  <si>
    <t xml:space="preserve">Identities and credentials for authorized users, services, and hardware are managed by the organization</t>
  </si>
  <si>
    <t xml:space="preserve">pfSense User Manager shows a single local admin account (System Administrator) in the admins group</t>
  </si>
  <si>
    <t xml:space="preserve">EV05_pfsense_user_manager.jpg</t>
  </si>
  <si>
    <t xml:space="preserve">Credentials are centrally visible and manageable via User Manager, but the environment uses one shared local admin identity rather than individual, role-based accounts.</t>
  </si>
  <si>
    <t xml:space="preserve">PR.AA-03</t>
  </si>
  <si>
    <t xml:space="preserve">Users, services, and hardware are authenticated</t>
  </si>
  <si>
    <t xml:space="preserve">pfSense enforces username/password login to the web GUI for the admin account</t>
  </si>
  <si>
    <t xml:space="preserve">Password-based authentication only. GAP: no multi-factor authentication configured for the firewall admin interface (pfSense supports TOTP under System &gt; User Manager &gt; Settings).</t>
  </si>
  <si>
    <t xml:space="preserve">PR.AA-05</t>
  </si>
  <si>
    <t xml:space="preserve">Access permissions, entitlements, and authorizations are defined in a policy, managed, enforced, and reviewed, and incorporate the principles of least privilege and separation of duties</t>
  </si>
  <si>
    <t xml:space="preserve">pfSense WAN firewall rule base default-denies all inbound traffic except an explicit Anti-Lockout rule permitting management ports (80/443) — least privilege enforced at the network boundary</t>
  </si>
  <si>
    <t xml:space="preserve">EV06_pfsense_wan_firewall_rules.jpg</t>
  </si>
  <si>
    <t xml:space="preserve">Rule set is minimal and intentional (deny-by-default), which is a strong least-privilege posture for a single WAN interface. Not yet formally reviewed/documented on a recurring schedule.</t>
  </si>
  <si>
    <t xml:space="preserve">PR.PS-01</t>
  </si>
  <si>
    <t xml:space="preserve">Configuration management practices are established and applied</t>
  </si>
  <si>
    <t xml:space="preserve">pfSense System Update page confirms the firewall is on a tracked release branch (Current Stable Version) and reports current base system status</t>
  </si>
  <si>
    <t xml:space="preserve">EV07_pfsense_system_update.jpg</t>
  </si>
  <si>
    <t xml:space="preserve">Version and branch are actively tracked through the built-in update mechanism, giving a reliable, repeatable way to verify configuration/version state.</t>
  </si>
  <si>
    <t xml:space="preserve">PR.PS-02</t>
  </si>
  <si>
    <t xml:space="preserve">Software is maintained, replaced, and removed commensurate with risk</t>
  </si>
  <si>
    <t xml:space="preserve">pfSense System Update confirms Current Base System (2.8.1) matches Latest Base System (2.8.1) — status: Up to date</t>
  </si>
  <si>
    <t xml:space="preserve">Firmware is current at time of evidence capture (Jul 23, 2026). No automated patch-check schedule configured yet — updates are checked manually.</t>
  </si>
  <si>
    <t xml:space="preserve">PR.PS-04</t>
  </si>
  <si>
    <t xml:space="preserve">Log records are generated and made available for continuous monitoring</t>
  </si>
  <si>
    <t xml:space="preserve">Wazuh Overview dashboard shows 21 alerts generated in the last 24 hours (0 critical, 0 high, 20 medium, 1 low), sourced from the enrolled endpoint</t>
  </si>
  <si>
    <t xml:space="preserve">Log generation and availability are working end-to-end from endpoint to SIEM. Coverage is limited to one host; pfSense logs are not yet forwarded into Wazuh.</t>
  </si>
  <si>
    <t xml:space="preserve">PR.IR-01</t>
  </si>
  <si>
    <t xml:space="preserve">Networks and environments are protected from unauthorized logical access and usage</t>
  </si>
  <si>
    <t xml:space="preserve">pfSense WAN interface (em0) is configured and isolated from LAN, with inbound access governed by the deny-by-default WAN rule set</t>
  </si>
  <si>
    <t xml:space="preserve">EV08_pfsense_wan_interface_config.jpg</t>
  </si>
  <si>
    <t xml:space="preserve">Perimeter segmentation and default-deny inbound policy are in place and verifiable. IPv6 (DHCP6) is enabled on WAN, which should be reviewed to ensure it is equally restricted.</t>
  </si>
  <si>
    <t xml:space="preserve">DE</t>
  </si>
  <si>
    <t xml:space="preserve">DE.CM-01</t>
  </si>
  <si>
    <t xml:space="preserve">Networks and network services are monitored to find potentially adverse events</t>
  </si>
  <si>
    <t xml:space="preserve">Wazuh Threat Hunting dashboard aggregates 431 events in the last 24 hours across sca, ossec, active_response, policy_changed, windows, and windows_system groups</t>
  </si>
  <si>
    <t xml:space="preserve">EV09_wazuh_threat_hunting_dashboard.jpg</t>
  </si>
  <si>
    <t xml:space="preserve">Strong event-volume monitoring exists at the endpoint/host layer. GAP: pfSense (network/perimeter layer) logs are not forwarded to Wazuh, so network-service-level monitoring is not yet centralized.</t>
  </si>
  <si>
    <t xml:space="preserve">DE.CM-09</t>
  </si>
  <si>
    <t xml:space="preserve">Computing hardware and software, runtime environments, and their data are monitored to find potentially adverse events</t>
  </si>
  <si>
    <t xml:space="preserve">Wazuh Endpoints dashboard confirms the agent status is Active, actively reporting OS and runtime telemetry</t>
  </si>
  <si>
    <t xml:space="preserve">Continuous agent-based monitoring is functioning and status is verifiable in real time. Limited to the single enrolled endpoint.</t>
  </si>
  <si>
    <t xml:space="preserve">DE.AE-02</t>
  </si>
  <si>
    <t xml:space="preserve">Potentially adverse events are analyzed to better understand associated activities</t>
  </si>
  <si>
    <t xml:space="preserve">Wazuh MITRE ATT&amp;CK dashboard maps detected alerts to adversary tactics/techniques (Defense Evasion — "Disable or Modify Tools") for the endpoint</t>
  </si>
  <si>
    <t xml:space="preserve">EV10_wazuh_mitre_attck_dashboard.jpg</t>
  </si>
  <si>
    <t xml:space="preserve">ATT&amp;CK-based enrichment and analysis is functioning and demonstrated (3 rule hits mapped to a tactic in the sample window). Sample size is small; needs sustained tuning to reduce noise and validate true positives.</t>
  </si>
  <si>
    <t xml:space="preserve">DE.AE-03</t>
  </si>
  <si>
    <t xml:space="preserve">Information is correlated from multiple sources</t>
  </si>
  <si>
    <t xml:space="preserve">Wazuh Threat Hunting dashboard correlates several log/alert groups (sca, ossec, windows, windows_system, active_response, policy_changed) for the single endpoint</t>
  </si>
  <si>
    <t xml:space="preserve">GAP: correlation currently spans multiple log types from one source (the Windows endpoint) but not multiple independent sources — pfSense firewall/network logs are not yet integrated, so cross-layer correlation (network + host) is not achieved.</t>
  </si>
  <si>
    <t xml:space="preserve">RS</t>
  </si>
  <si>
    <t xml:space="preserve">RS.MA-01</t>
  </si>
  <si>
    <t xml:space="preserve">The incident response plan is executed in coordination with relevant third parties once an incident is declared</t>
  </si>
  <si>
    <t xml:space="preserve">None observed — no documented incident response plan or escalation procedure exists for the lab</t>
  </si>
  <si>
    <t xml:space="preserve">GAP: Wazuh generates alerts and MITRE-mapped detections, but there is no written IR plan defining triage roles, escalation thresholds, or declaration criteria. Recommended next step: draft a one-page lab IR runbook covering detection-to-containment steps.</t>
  </si>
  <si>
    <t xml:space="preserve">RC</t>
  </si>
  <si>
    <t xml:space="preserve">RC.RP-03</t>
  </si>
  <si>
    <t xml:space="preserve">The integrity of backups and other restoration assets is verified before using them for restoration</t>
  </si>
  <si>
    <t xml:space="preserve">None observed — no backup or recovery process configured for pfSense config or the Windows endpoint</t>
  </si>
  <si>
    <t xml:space="preserve">GAP: pfSense supports config.xml auto-backup/export and Wazuh supports configuration backup, but neither is currently scheduled or verified in this lab. Recommended next step: enable pfSense AutoConfigBackup and periodic Wazuh manager config export.</t>
  </si>
  <si>
    <t xml:space="preserve">Average Maturity Score:</t>
  </si>
  <si>
    <t xml:space="preserve">Maturity Summary by CSF 2.0 Function</t>
  </si>
  <si>
    <t xml:space="preserve">Subcategories Mapped</t>
  </si>
  <si>
    <t xml:space="preserve">Avg. Maturity (0-4)</t>
  </si>
  <si>
    <t xml:space="preserve">Rating</t>
  </si>
  <si>
    <t xml:space="preserve">GV — Govern</t>
  </si>
  <si>
    <t xml:space="preserve">ID — Identify</t>
  </si>
  <si>
    <t xml:space="preserve">PR — Protect</t>
  </si>
  <si>
    <t xml:space="preserve">DE — Detect</t>
  </si>
  <si>
    <t xml:space="preserve">RS — Respond</t>
  </si>
  <si>
    <t xml:space="preserve">RC — Recover</t>
  </si>
  <si>
    <t xml:space="preserve">Overall</t>
  </si>
  <si>
    <t xml:space="preserve">Prioritized Gaps (Maturity 0-1)</t>
  </si>
  <si>
    <t xml:space="preserve">Gap Summary</t>
  </si>
  <si>
    <t xml:space="preserve">Recommended Next Step</t>
  </si>
  <si>
    <t xml:space="preserve">No formal cybersecurity policy governs the lab environment.</t>
  </si>
  <si>
    <t xml:space="preserve">Adopt a lightweight lab-use security policy (access, patching, logging) drawn from the existing ISO 27001/NIST CSF-mapped policy suite template.</t>
  </si>
  <si>
    <t xml:space="preserve">Software inventory covers only pfSense packages, not the endpoint or a consolidated asset list.</t>
  </si>
  <si>
    <t xml:space="preserve">Enable Wazuh syscollector software inventory on the Windows agent and merge with pfSense package list into one asset register.</t>
  </si>
  <si>
    <t xml:space="preserve">Vulnerability Detection module is enabled but not actively scanning/reporting.</t>
  </si>
  <si>
    <t xml:space="preserve">Configure and run a Wazuh vulnerability scan against the Windows endpoint; review and triage findings weekly.</t>
  </si>
  <si>
    <t xml:space="preserve">Firewall admin access relies on password-only authentication.</t>
  </si>
  <si>
    <t xml:space="preserve">Enable TOTP-based MFA for the pfSense admin account under System &gt; User Manager &gt; Settings.</t>
  </si>
  <si>
    <t xml:space="preserve">DE.CM-01 / DE.AE-03</t>
  </si>
  <si>
    <t xml:space="preserve">DE / DE</t>
  </si>
  <si>
    <t xml:space="preserve">pfSense (network-layer) logs are not forwarded into Wazuh, limiting monitoring/correlation to the single Windows host.</t>
  </si>
  <si>
    <t xml:space="preserve">Configure pfSense syslog forwarding to the Wazuh manager (or deploy a Wazuh agent on pfSense) to enable network+host correlation.</t>
  </si>
  <si>
    <t xml:space="preserve">No documented incident response plan or escalation procedure exists.</t>
  </si>
  <si>
    <t xml:space="preserve">Draft a one-page lab incident-response runbook: detection source, triage owner, escalation thresholds, containment steps.</t>
  </si>
  <si>
    <t xml:space="preserve">No backup/recovery process is scheduled or verified for pfSense config or the endpoint.</t>
  </si>
  <si>
    <t xml:space="preserve">Enable pfSense AutoConfigBackup and schedule periodic export/verification of the Wazuh manager configuration.</t>
  </si>
  <si>
    <t xml:space="preserve">Evidence Index — /evidence folder</t>
  </si>
  <si>
    <t xml:space="preserve">Each file below is a renamed screenshot captured directly from the home lab (Wazuh 4.14.6 console and pfSense 2.8.1 web GUI).</t>
  </si>
  <si>
    <t xml:space="preserve">File Name</t>
  </si>
  <si>
    <t xml:space="preserve">Source System</t>
  </si>
  <si>
    <t xml:space="preserve">What It Shows</t>
  </si>
  <si>
    <t xml:space="preserve">Subcategories Supported</t>
  </si>
  <si>
    <t xml:space="preserve">Wazuh</t>
  </si>
  <si>
    <t xml:space="preserve">Endpoints inventory — 1 active agent (DESKTOP-E4J3CS6), Windows 10 Pro, group: default</t>
  </si>
  <si>
    <t xml:space="preserve">ID.AM-01, DE.CM-09</t>
  </si>
  <si>
    <t xml:space="preserve">pfSense</t>
  </si>
  <si>
    <t xml:space="preserve">System &gt; Package Manager &gt; Available Packages listing on the firewall</t>
  </si>
  <si>
    <t xml:space="preserve">Platform overview — 24h alert severity breakdown, Endpoint Security and Threat Intelligence module tiles</t>
  </si>
  <si>
    <t xml:space="preserve">ID.RA-01, PR.PS-04</t>
  </si>
  <si>
    <t xml:space="preserve">Configuration Assessment — CIS Microsoft Windows 10 Enterprise Benchmark v4.0.0 results (424 checks)</t>
  </si>
  <si>
    <t xml:space="preserve">System &gt; User Manager &gt; Users — local admin account and group membership</t>
  </si>
  <si>
    <t xml:space="preserve">PR.AA-01, PR.AA-03</t>
  </si>
  <si>
    <t xml:space="preserve">Firewall &gt; Rules &gt; WAN — anti-lockout rule; all other inbound denied by default</t>
  </si>
  <si>
    <t xml:space="preserve">System &gt; Update &gt; System Update — current vs. latest base system version (2.8.1, up to date)</t>
  </si>
  <si>
    <t xml:space="preserve">PR.PS-01, PR.PS-02</t>
  </si>
  <si>
    <t xml:space="preserve">Interfaces &gt; WAN (em0) — general configuration, DHCP/DHCP6</t>
  </si>
  <si>
    <t xml:space="preserve">Threat Hunting dashboard — 431 events/24h across sca, ossec, windows, active_response groups</t>
  </si>
  <si>
    <t xml:space="preserve">DE.CM-01, DE.AE-03</t>
  </si>
  <si>
    <t xml:space="preserve">MITRE ATT&amp;CK dashboard — alerts mapped to Defense Evasion tactic for the endpoint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</si>
</sst>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395"/>
        <bgColor rgb="FF1F4E79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F99CC"/>
      </patternFill>
    </fill>
    <fill>
      <patternFill patternType="solid">
        <fgColor rgb="FFFFE699"/>
        <bgColor rgb="FFD9D9D9"/>
      </patternFill>
    </fill>
    <fill>
      <patternFill patternType="solid">
        <fgColor rgb="FFA9D18E"/>
        <bgColor rgb="FFBFBFBF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FFFFF"/>
      </patternFill>
    </fill>
    <fill>
      <patternFill patternType="solid">
        <fgColor rgb="FFC55A11"/>
        <bgColor rgb="FF993300"/>
      </patternFill>
    </fill>
    <fill>
      <patternFill patternType="solid">
        <fgColor rgb="FFBF8F00"/>
        <bgColor rgb="FFC55A11"/>
      </patternFill>
    </fill>
    <fill>
      <patternFill patternType="solid">
        <fgColor rgb="FF0F6FC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7030A0"/>
      <rgbColor rgb="FFF2F2F2"/>
      <rgbColor rgb="FFCCFFFF"/>
      <rgbColor rgb="FF660066"/>
      <rgbColor rgb="FFFF8080"/>
      <rgbColor rgb="FF0F6FC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9D18E"/>
      <rgbColor rgb="FFFF99CC"/>
      <rgbColor rgb="FFCC99FF"/>
      <rgbColor rgb="FFF4B183"/>
      <rgbColor rgb="FF4F81BD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Maturity by CSF Function (0-4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'Maturity Summary'!C3</c:f>
              <c:strCache>
                <c:ptCount val="1"/>
                <c:pt idx="0">
                  <c:v>Avg. Maturity (0-4)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'Maturity Summary'!$A$4:$A$9</c:f>
              <c:strCache>
                <c:ptCount val="6"/>
                <c:pt idx="0">
                  <c:v>GV — Govern</c:v>
                </c:pt>
                <c:pt idx="1">
                  <c:v>ID — Identify</c:v>
                </c:pt>
                <c:pt idx="2">
                  <c:v>PR — Protect</c:v>
                </c:pt>
                <c:pt idx="3">
                  <c:v>DE — Detect</c:v>
                </c:pt>
                <c:pt idx="4">
                  <c:v>RS — Respond</c:v>
                </c:pt>
                <c:pt idx="5">
                  <c:v>RC — Recover</c:v>
                </c:pt>
              </c:strCache>
            </c:strRef>
          </c:cat>
          <c:val>
            <c:numRef>
              <c:f>'Maturity Summary'!$C$4:$C$9</c:f>
              <c:numCache>
                <c:formatCode>0.00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2.71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6359760"/>
        <c:axId val="17043016"/>
      </c:barChart>
      <c:catAx>
        <c:axId val="463597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CSF Function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43016"/>
        <c:crosses val="autoZero"/>
        <c:auto val="1"/>
        <c:lblAlgn val="ctr"/>
        <c:lblOffset val="100"/>
        <c:noMultiLvlLbl val="0"/>
      </c:catAx>
      <c:valAx>
        <c:axId val="17043016"/>
        <c:scaling>
          <c:orientation val="minMax"/>
          <c:max val="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Avg. Maturity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597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18</xdr:row>
      <xdr:rowOff>77400</xdr:rowOff>
    </xdr:to>
    <xdr:graphicFrame>
      <xdr:nvGraphicFramePr>
        <xdr:cNvPr id="0" name="Chart 1"/>
        <xdr:cNvGraphicFramePr/>
      </xdr:nvGraphicFramePr>
      <xdr:xfrm>
        <a:off x="8928720" y="495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8" min="3" style="0" width="13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6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1"/>
    </row>
    <row r="4" customFormat="false" ht="15.75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5" customFormat="false" ht="15.75" hidden="false" customHeight="true" outlineLevel="0" collapsed="false"/>
    <row r="6" customFormat="false" ht="15.75" hidden="false" customHeight="true" outlineLevel="0" collapsed="false">
      <c r="B6" s="4" t="s">
        <v>2</v>
      </c>
      <c r="C6" s="5" t="s">
        <v>3</v>
      </c>
      <c r="D6" s="5"/>
      <c r="E6" s="5"/>
      <c r="F6" s="5"/>
      <c r="G6" s="5"/>
      <c r="H6" s="5"/>
    </row>
    <row r="7" customFormat="false" ht="15.75" hidden="false" customHeight="true" outlineLevel="0" collapsed="false">
      <c r="B7" s="4" t="s">
        <v>4</v>
      </c>
      <c r="C7" s="5" t="s">
        <v>5</v>
      </c>
      <c r="D7" s="5"/>
      <c r="E7" s="5"/>
      <c r="F7" s="5"/>
      <c r="G7" s="5"/>
      <c r="H7" s="5"/>
    </row>
    <row r="8" customFormat="false" ht="15.75" hidden="false" customHeight="true" outlineLevel="0" collapsed="false">
      <c r="B8" s="4" t="s">
        <v>6</v>
      </c>
      <c r="C8" s="5" t="s">
        <v>7</v>
      </c>
      <c r="D8" s="5"/>
      <c r="E8" s="5"/>
      <c r="F8" s="5"/>
      <c r="G8" s="5"/>
      <c r="H8" s="5"/>
    </row>
    <row r="9" customFormat="false" ht="15.75" hidden="false" customHeight="true" outlineLevel="0" collapsed="false">
      <c r="B9" s="4" t="s">
        <v>8</v>
      </c>
      <c r="C9" s="5" t="s">
        <v>9</v>
      </c>
      <c r="D9" s="5"/>
      <c r="E9" s="5"/>
      <c r="F9" s="5"/>
      <c r="G9" s="5"/>
      <c r="H9" s="5"/>
    </row>
    <row r="10" customFormat="false" ht="15.75" hidden="false" customHeight="true" outlineLevel="0" collapsed="false">
      <c r="B10" s="4" t="s">
        <v>10</v>
      </c>
      <c r="C10" s="5" t="s">
        <v>11</v>
      </c>
      <c r="D10" s="5"/>
      <c r="E10" s="5"/>
      <c r="F10" s="5"/>
      <c r="G10" s="5"/>
      <c r="H10" s="5"/>
    </row>
    <row r="11" customFormat="false" ht="15.75" hidden="false" customHeight="true" outlineLevel="0" collapsed="false"/>
    <row r="12" customFormat="false" ht="15.75" hidden="false" customHeight="true" outlineLevel="0" collapsed="false">
      <c r="B12" s="6" t="s">
        <v>12</v>
      </c>
    </row>
    <row r="13" customFormat="false" ht="15.75" hidden="false" customHeight="true" outlineLevel="0" collapsed="false">
      <c r="B13" s="7" t="s">
        <v>13</v>
      </c>
      <c r="C13" s="7" t="s">
        <v>14</v>
      </c>
      <c r="D13" s="7" t="s">
        <v>15</v>
      </c>
      <c r="E13" s="7"/>
      <c r="F13" s="7"/>
      <c r="G13" s="7"/>
      <c r="H13" s="7"/>
    </row>
    <row r="14" customFormat="false" ht="15.75" hidden="false" customHeight="true" outlineLevel="0" collapsed="false">
      <c r="B14" s="8" t="n">
        <v>0</v>
      </c>
      <c r="C14" s="9" t="s">
        <v>16</v>
      </c>
      <c r="D14" s="10" t="s">
        <v>17</v>
      </c>
      <c r="E14" s="10"/>
      <c r="F14" s="10"/>
      <c r="G14" s="10"/>
      <c r="H14" s="10"/>
    </row>
    <row r="15" customFormat="false" ht="15.75" hidden="false" customHeight="true" outlineLevel="0" collapsed="false">
      <c r="B15" s="11" t="n">
        <v>1</v>
      </c>
      <c r="C15" s="9" t="s">
        <v>18</v>
      </c>
      <c r="D15" s="10" t="s">
        <v>19</v>
      </c>
      <c r="E15" s="10"/>
      <c r="F15" s="10"/>
      <c r="G15" s="10"/>
      <c r="H15" s="10"/>
    </row>
    <row r="16" customFormat="false" ht="15.75" hidden="false" customHeight="true" outlineLevel="0" collapsed="false">
      <c r="B16" s="12" t="n">
        <v>2</v>
      </c>
      <c r="C16" s="9" t="s">
        <v>20</v>
      </c>
      <c r="D16" s="10" t="s">
        <v>21</v>
      </c>
      <c r="E16" s="10"/>
      <c r="F16" s="10"/>
      <c r="G16" s="10"/>
      <c r="H16" s="10"/>
    </row>
    <row r="17" customFormat="false" ht="15.75" hidden="false" customHeight="true" outlineLevel="0" collapsed="false">
      <c r="B17" s="13" t="n">
        <v>3</v>
      </c>
      <c r="C17" s="9" t="s">
        <v>22</v>
      </c>
      <c r="D17" s="10" t="s">
        <v>23</v>
      </c>
      <c r="E17" s="10"/>
      <c r="F17" s="10"/>
      <c r="G17" s="10"/>
      <c r="H17" s="10"/>
    </row>
    <row r="18" customFormat="false" ht="15.75" hidden="false" customHeight="true" outlineLevel="0" collapsed="false">
      <c r="B18" s="14" t="n">
        <v>4</v>
      </c>
      <c r="C18" s="9" t="s">
        <v>24</v>
      </c>
      <c r="D18" s="10" t="s">
        <v>25</v>
      </c>
      <c r="E18" s="10"/>
      <c r="F18" s="10"/>
      <c r="G18" s="10"/>
      <c r="H18" s="10"/>
    </row>
    <row r="19" customFormat="false" ht="15.75" hidden="false" customHeight="true" outlineLevel="0" collapsed="false"/>
    <row r="20" customFormat="false" ht="15.75" hidden="false" customHeight="true" outlineLevel="0" collapsed="false">
      <c r="B20" s="6" t="s">
        <v>26</v>
      </c>
    </row>
    <row r="21" customFormat="false" ht="15.75" hidden="false" customHeight="true" outlineLevel="0" collapsed="false">
      <c r="B21" s="4" t="s">
        <v>27</v>
      </c>
      <c r="C21" s="5" t="s">
        <v>28</v>
      </c>
      <c r="D21" s="5"/>
      <c r="E21" s="5"/>
      <c r="F21" s="5"/>
      <c r="G21" s="5"/>
      <c r="H21" s="5"/>
    </row>
    <row r="22" customFormat="false" ht="15.75" hidden="false" customHeight="true" outlineLevel="0" collapsed="false">
      <c r="B22" s="4" t="s">
        <v>29</v>
      </c>
      <c r="C22" s="5" t="s">
        <v>30</v>
      </c>
      <c r="D22" s="5"/>
      <c r="E22" s="5"/>
      <c r="F22" s="5"/>
      <c r="G22" s="5"/>
      <c r="H22" s="5"/>
    </row>
    <row r="23" customFormat="false" ht="15.75" hidden="false" customHeight="true" outlineLevel="0" collapsed="false">
      <c r="B23" s="4" t="s">
        <v>31</v>
      </c>
      <c r="C23" s="5" t="s">
        <v>32</v>
      </c>
      <c r="D23" s="5"/>
      <c r="E23" s="5"/>
      <c r="F23" s="5"/>
      <c r="G23" s="5"/>
      <c r="H23" s="5"/>
    </row>
    <row r="24" customFormat="false" ht="15.75" hidden="false" customHeight="true" outlineLevel="0" collapsed="false"/>
    <row r="25" customFormat="false" ht="15.75" hidden="false" customHeight="true" outlineLevel="0" collapsed="false">
      <c r="B25" s="15" t="s">
        <v>33</v>
      </c>
      <c r="C25" s="15"/>
      <c r="D25" s="15"/>
      <c r="E25" s="15"/>
      <c r="F25" s="15"/>
      <c r="G25" s="15"/>
      <c r="H25" s="15"/>
    </row>
    <row r="26" customFormat="false" ht="15.75" hidden="false" customHeight="true" outlineLevel="0" collapsed="false">
      <c r="B26" s="15"/>
      <c r="C26" s="15"/>
      <c r="D26" s="15"/>
      <c r="E26" s="15"/>
      <c r="F26" s="15"/>
      <c r="G26" s="15"/>
      <c r="H26" s="15"/>
    </row>
    <row r="27" customFormat="false" ht="15.75" hidden="false" customHeight="true" outlineLevel="0" collapsed="false">
      <c r="B27" s="15"/>
      <c r="C27" s="15"/>
      <c r="D27" s="15"/>
      <c r="E27" s="15"/>
      <c r="F27" s="15"/>
      <c r="G27" s="15"/>
      <c r="H27" s="15"/>
    </row>
    <row r="28" customFormat="false" ht="15.75" hidden="false" customHeight="true" outlineLevel="0" collapsed="false"/>
  </sheetData>
  <mergeCells count="17">
    <mergeCell ref="B2:H3"/>
    <mergeCell ref="B4:H4"/>
    <mergeCell ref="C6:H6"/>
    <mergeCell ref="C7:H7"/>
    <mergeCell ref="C8:H8"/>
    <mergeCell ref="C9:H9"/>
    <mergeCell ref="C10:H10"/>
    <mergeCell ref="D13:H13"/>
    <mergeCell ref="D14:H14"/>
    <mergeCell ref="D15:H15"/>
    <mergeCell ref="D16:H16"/>
    <mergeCell ref="D17:H17"/>
    <mergeCell ref="D18:H18"/>
    <mergeCell ref="C21:H21"/>
    <mergeCell ref="C22:H22"/>
    <mergeCell ref="C23:H23"/>
    <mergeCell ref="B25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24" hidden="false" customHeight="true" outlineLevel="0" collapsed="false">
      <c r="A1" s="16" t="s">
        <v>34</v>
      </c>
      <c r="B1" s="16"/>
      <c r="C1" s="16"/>
      <c r="D1" s="16"/>
      <c r="E1" s="16"/>
      <c r="F1" s="16"/>
      <c r="G1" s="16"/>
      <c r="H1" s="16"/>
      <c r="I1" s="16"/>
    </row>
    <row r="2" customFormat="false" ht="30" hidden="false" customHeight="true" outlineLevel="0" collapsed="false">
      <c r="A2" s="17" t="s">
        <v>35</v>
      </c>
      <c r="B2" s="17" t="s">
        <v>36</v>
      </c>
      <c r="C2" s="17" t="s">
        <v>37</v>
      </c>
      <c r="D2" s="17" t="s">
        <v>38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</row>
    <row r="3" customFormat="false" ht="57.75" hidden="false" customHeight="true" outlineLevel="0" collapsed="false">
      <c r="A3" s="18" t="n">
        <v>1</v>
      </c>
      <c r="B3" s="19" t="s">
        <v>44</v>
      </c>
      <c r="C3" s="20" t="s">
        <v>45</v>
      </c>
      <c r="D3" s="21" t="s">
        <v>46</v>
      </c>
      <c r="E3" s="21" t="s">
        <v>47</v>
      </c>
      <c r="F3" s="22" t="s">
        <v>48</v>
      </c>
      <c r="G3" s="23" t="n">
        <v>0</v>
      </c>
      <c r="H3" s="18" t="s">
        <v>16</v>
      </c>
      <c r="I3" s="21" t="s">
        <v>49</v>
      </c>
    </row>
    <row r="4" customFormat="false" ht="57.75" hidden="false" customHeight="true" outlineLevel="0" collapsed="false">
      <c r="A4" s="24" t="n">
        <v>2</v>
      </c>
      <c r="B4" s="25" t="s">
        <v>50</v>
      </c>
      <c r="C4" s="26" t="s">
        <v>51</v>
      </c>
      <c r="D4" s="27" t="s">
        <v>52</v>
      </c>
      <c r="E4" s="27" t="s">
        <v>53</v>
      </c>
      <c r="F4" s="28" t="s">
        <v>54</v>
      </c>
      <c r="G4" s="29" t="n">
        <v>2</v>
      </c>
      <c r="H4" s="24" t="s">
        <v>20</v>
      </c>
      <c r="I4" s="27" t="s">
        <v>55</v>
      </c>
    </row>
    <row r="5" customFormat="false" ht="57.75" hidden="false" customHeight="true" outlineLevel="0" collapsed="false">
      <c r="A5" s="18" t="n">
        <v>3</v>
      </c>
      <c r="B5" s="30" t="s">
        <v>50</v>
      </c>
      <c r="C5" s="20" t="s">
        <v>56</v>
      </c>
      <c r="D5" s="21" t="s">
        <v>57</v>
      </c>
      <c r="E5" s="21" t="s">
        <v>58</v>
      </c>
      <c r="F5" s="22" t="s">
        <v>59</v>
      </c>
      <c r="G5" s="31" t="n">
        <v>1</v>
      </c>
      <c r="H5" s="18" t="s">
        <v>18</v>
      </c>
      <c r="I5" s="21" t="s">
        <v>60</v>
      </c>
    </row>
    <row r="6" customFormat="false" ht="57.75" hidden="false" customHeight="true" outlineLevel="0" collapsed="false">
      <c r="A6" s="24" t="n">
        <v>4</v>
      </c>
      <c r="B6" s="25" t="s">
        <v>50</v>
      </c>
      <c r="C6" s="26" t="s">
        <v>61</v>
      </c>
      <c r="D6" s="27" t="s">
        <v>62</v>
      </c>
      <c r="E6" s="27" t="s">
        <v>63</v>
      </c>
      <c r="F6" s="28" t="s">
        <v>64</v>
      </c>
      <c r="G6" s="31" t="n">
        <v>1</v>
      </c>
      <c r="H6" s="24" t="s">
        <v>18</v>
      </c>
      <c r="I6" s="27" t="s">
        <v>65</v>
      </c>
    </row>
    <row r="7" customFormat="false" ht="57.75" hidden="false" customHeight="true" outlineLevel="0" collapsed="false">
      <c r="A7" s="18" t="n">
        <v>5</v>
      </c>
      <c r="B7" s="30" t="s">
        <v>50</v>
      </c>
      <c r="C7" s="20" t="s">
        <v>66</v>
      </c>
      <c r="D7" s="21" t="s">
        <v>67</v>
      </c>
      <c r="E7" s="21" t="s">
        <v>68</v>
      </c>
      <c r="F7" s="22" t="s">
        <v>69</v>
      </c>
      <c r="G7" s="29" t="n">
        <v>2</v>
      </c>
      <c r="H7" s="18" t="s">
        <v>20</v>
      </c>
      <c r="I7" s="21" t="s">
        <v>70</v>
      </c>
    </row>
    <row r="8" customFormat="false" ht="57.75" hidden="false" customHeight="true" outlineLevel="0" collapsed="false">
      <c r="A8" s="24" t="n">
        <v>6</v>
      </c>
      <c r="B8" s="25" t="s">
        <v>71</v>
      </c>
      <c r="C8" s="26" t="s">
        <v>72</v>
      </c>
      <c r="D8" s="27" t="s">
        <v>73</v>
      </c>
      <c r="E8" s="27" t="s">
        <v>74</v>
      </c>
      <c r="F8" s="28" t="s">
        <v>75</v>
      </c>
      <c r="G8" s="29" t="n">
        <v>2</v>
      </c>
      <c r="H8" s="24" t="s">
        <v>20</v>
      </c>
      <c r="I8" s="27" t="s">
        <v>76</v>
      </c>
    </row>
    <row r="9" customFormat="false" ht="57.75" hidden="false" customHeight="true" outlineLevel="0" collapsed="false">
      <c r="A9" s="18" t="n">
        <v>7</v>
      </c>
      <c r="B9" s="32" t="s">
        <v>71</v>
      </c>
      <c r="C9" s="20" t="s">
        <v>77</v>
      </c>
      <c r="D9" s="21" t="s">
        <v>78</v>
      </c>
      <c r="E9" s="21" t="s">
        <v>79</v>
      </c>
      <c r="F9" s="22" t="s">
        <v>75</v>
      </c>
      <c r="G9" s="29" t="n">
        <v>2</v>
      </c>
      <c r="H9" s="18" t="s">
        <v>20</v>
      </c>
      <c r="I9" s="21" t="s">
        <v>80</v>
      </c>
    </row>
    <row r="10" customFormat="false" ht="57.75" hidden="false" customHeight="true" outlineLevel="0" collapsed="false">
      <c r="A10" s="24" t="n">
        <v>8</v>
      </c>
      <c r="B10" s="25" t="s">
        <v>71</v>
      </c>
      <c r="C10" s="26" t="s">
        <v>81</v>
      </c>
      <c r="D10" s="27" t="s">
        <v>82</v>
      </c>
      <c r="E10" s="27" t="s">
        <v>83</v>
      </c>
      <c r="F10" s="28" t="s">
        <v>84</v>
      </c>
      <c r="G10" s="33" t="n">
        <v>3</v>
      </c>
      <c r="H10" s="24" t="s">
        <v>22</v>
      </c>
      <c r="I10" s="27" t="s">
        <v>85</v>
      </c>
    </row>
    <row r="11" customFormat="false" ht="57.75" hidden="false" customHeight="true" outlineLevel="0" collapsed="false">
      <c r="A11" s="18" t="n">
        <v>9</v>
      </c>
      <c r="B11" s="32" t="s">
        <v>71</v>
      </c>
      <c r="C11" s="20" t="s">
        <v>86</v>
      </c>
      <c r="D11" s="21" t="s">
        <v>87</v>
      </c>
      <c r="E11" s="21" t="s">
        <v>88</v>
      </c>
      <c r="F11" s="22" t="s">
        <v>89</v>
      </c>
      <c r="G11" s="33" t="n">
        <v>3</v>
      </c>
      <c r="H11" s="18" t="s">
        <v>22</v>
      </c>
      <c r="I11" s="21" t="s">
        <v>90</v>
      </c>
    </row>
    <row r="12" customFormat="false" ht="57.75" hidden="false" customHeight="true" outlineLevel="0" collapsed="false">
      <c r="A12" s="24" t="n">
        <v>10</v>
      </c>
      <c r="B12" s="25" t="s">
        <v>71</v>
      </c>
      <c r="C12" s="26" t="s">
        <v>91</v>
      </c>
      <c r="D12" s="27" t="s">
        <v>92</v>
      </c>
      <c r="E12" s="27" t="s">
        <v>93</v>
      </c>
      <c r="F12" s="28" t="s">
        <v>89</v>
      </c>
      <c r="G12" s="33" t="n">
        <v>3</v>
      </c>
      <c r="H12" s="24" t="s">
        <v>22</v>
      </c>
      <c r="I12" s="27" t="s">
        <v>94</v>
      </c>
    </row>
    <row r="13" customFormat="false" ht="57.75" hidden="false" customHeight="true" outlineLevel="0" collapsed="false">
      <c r="A13" s="18" t="n">
        <v>11</v>
      </c>
      <c r="B13" s="32" t="s">
        <v>71</v>
      </c>
      <c r="C13" s="20" t="s">
        <v>95</v>
      </c>
      <c r="D13" s="21" t="s">
        <v>96</v>
      </c>
      <c r="E13" s="21" t="s">
        <v>97</v>
      </c>
      <c r="F13" s="22" t="s">
        <v>64</v>
      </c>
      <c r="G13" s="33" t="n">
        <v>3</v>
      </c>
      <c r="H13" s="18" t="s">
        <v>22</v>
      </c>
      <c r="I13" s="21" t="s">
        <v>98</v>
      </c>
    </row>
    <row r="14" customFormat="false" ht="57.75" hidden="false" customHeight="true" outlineLevel="0" collapsed="false">
      <c r="A14" s="24" t="n">
        <v>12</v>
      </c>
      <c r="B14" s="25" t="s">
        <v>71</v>
      </c>
      <c r="C14" s="26" t="s">
        <v>99</v>
      </c>
      <c r="D14" s="27" t="s">
        <v>100</v>
      </c>
      <c r="E14" s="27" t="s">
        <v>101</v>
      </c>
      <c r="F14" s="28" t="s">
        <v>102</v>
      </c>
      <c r="G14" s="33" t="n">
        <v>3</v>
      </c>
      <c r="H14" s="24" t="s">
        <v>22</v>
      </c>
      <c r="I14" s="27" t="s">
        <v>103</v>
      </c>
    </row>
    <row r="15" customFormat="false" ht="57.75" hidden="false" customHeight="true" outlineLevel="0" collapsed="false">
      <c r="A15" s="18" t="n">
        <v>13</v>
      </c>
      <c r="B15" s="34" t="s">
        <v>104</v>
      </c>
      <c r="C15" s="20" t="s">
        <v>105</v>
      </c>
      <c r="D15" s="21" t="s">
        <v>106</v>
      </c>
      <c r="E15" s="21" t="s">
        <v>107</v>
      </c>
      <c r="F15" s="22" t="s">
        <v>108</v>
      </c>
      <c r="G15" s="29" t="n">
        <v>2</v>
      </c>
      <c r="H15" s="18" t="s">
        <v>20</v>
      </c>
      <c r="I15" s="21" t="s">
        <v>109</v>
      </c>
    </row>
    <row r="16" customFormat="false" ht="57.75" hidden="false" customHeight="true" outlineLevel="0" collapsed="false">
      <c r="A16" s="24" t="n">
        <v>14</v>
      </c>
      <c r="B16" s="25" t="s">
        <v>104</v>
      </c>
      <c r="C16" s="26" t="s">
        <v>110</v>
      </c>
      <c r="D16" s="27" t="s">
        <v>111</v>
      </c>
      <c r="E16" s="27" t="s">
        <v>112</v>
      </c>
      <c r="F16" s="28" t="s">
        <v>54</v>
      </c>
      <c r="G16" s="33" t="n">
        <v>3</v>
      </c>
      <c r="H16" s="24" t="s">
        <v>22</v>
      </c>
      <c r="I16" s="27" t="s">
        <v>113</v>
      </c>
    </row>
    <row r="17" customFormat="false" ht="57.75" hidden="false" customHeight="true" outlineLevel="0" collapsed="false">
      <c r="A17" s="18" t="n">
        <v>15</v>
      </c>
      <c r="B17" s="34" t="s">
        <v>104</v>
      </c>
      <c r="C17" s="20" t="s">
        <v>114</v>
      </c>
      <c r="D17" s="21" t="s">
        <v>115</v>
      </c>
      <c r="E17" s="21" t="s">
        <v>116</v>
      </c>
      <c r="F17" s="22" t="s">
        <v>117</v>
      </c>
      <c r="G17" s="29" t="n">
        <v>2</v>
      </c>
      <c r="H17" s="18" t="s">
        <v>20</v>
      </c>
      <c r="I17" s="21" t="s">
        <v>118</v>
      </c>
    </row>
    <row r="18" customFormat="false" ht="57.75" hidden="false" customHeight="true" outlineLevel="0" collapsed="false">
      <c r="A18" s="24" t="n">
        <v>16</v>
      </c>
      <c r="B18" s="25" t="s">
        <v>104</v>
      </c>
      <c r="C18" s="26" t="s">
        <v>119</v>
      </c>
      <c r="D18" s="27" t="s">
        <v>120</v>
      </c>
      <c r="E18" s="27" t="s">
        <v>121</v>
      </c>
      <c r="F18" s="28" t="s">
        <v>108</v>
      </c>
      <c r="G18" s="31" t="n">
        <v>1</v>
      </c>
      <c r="H18" s="24" t="s">
        <v>18</v>
      </c>
      <c r="I18" s="27" t="s">
        <v>122</v>
      </c>
    </row>
    <row r="19" customFormat="false" ht="57.75" hidden="false" customHeight="true" outlineLevel="0" collapsed="false">
      <c r="A19" s="18" t="n">
        <v>17</v>
      </c>
      <c r="B19" s="35" t="s">
        <v>123</v>
      </c>
      <c r="C19" s="20" t="s">
        <v>124</v>
      </c>
      <c r="D19" s="21" t="s">
        <v>125</v>
      </c>
      <c r="E19" s="21" t="s">
        <v>126</v>
      </c>
      <c r="F19" s="22" t="s">
        <v>48</v>
      </c>
      <c r="G19" s="23" t="n">
        <v>0</v>
      </c>
      <c r="H19" s="18" t="s">
        <v>16</v>
      </c>
      <c r="I19" s="21" t="s">
        <v>127</v>
      </c>
    </row>
    <row r="20" customFormat="false" ht="57.75" hidden="false" customHeight="true" outlineLevel="0" collapsed="false">
      <c r="A20" s="24" t="n">
        <v>18</v>
      </c>
      <c r="B20" s="25" t="s">
        <v>128</v>
      </c>
      <c r="C20" s="26" t="s">
        <v>129</v>
      </c>
      <c r="D20" s="27" t="s">
        <v>130</v>
      </c>
      <c r="E20" s="27" t="s">
        <v>131</v>
      </c>
      <c r="F20" s="28" t="s">
        <v>48</v>
      </c>
      <c r="G20" s="23" t="n">
        <v>0</v>
      </c>
      <c r="H20" s="24" t="s">
        <v>16</v>
      </c>
      <c r="I20" s="27" t="s">
        <v>132</v>
      </c>
    </row>
    <row r="22" customFormat="false" ht="18" hidden="false" customHeight="true" outlineLevel="0" collapsed="false">
      <c r="D22" s="36" t="s">
        <v>133</v>
      </c>
      <c r="G22" s="37" t="n">
        <f aca="false">AVERAGE(G3:G20)</f>
        <v>1.83333333333333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46"/>
  </cols>
  <sheetData>
    <row r="1" customFormat="false" ht="24" hidden="false" customHeight="true" outlineLevel="0" collapsed="false">
      <c r="A1" s="16" t="s">
        <v>134</v>
      </c>
      <c r="B1" s="16"/>
      <c r="C1" s="16"/>
      <c r="D1" s="16"/>
      <c r="E1" s="16"/>
      <c r="F1" s="16"/>
    </row>
    <row r="3" customFormat="false" ht="24" hidden="false" customHeight="true" outlineLevel="0" collapsed="false">
      <c r="A3" s="17" t="s">
        <v>36</v>
      </c>
      <c r="B3" s="17" t="s">
        <v>135</v>
      </c>
      <c r="C3" s="17" t="s">
        <v>136</v>
      </c>
      <c r="D3" s="17" t="s">
        <v>137</v>
      </c>
    </row>
    <row r="4" customFormat="false" ht="15" hidden="false" customHeight="false" outlineLevel="0" collapsed="false">
      <c r="A4" s="38" t="s">
        <v>138</v>
      </c>
      <c r="B4" s="39" t="n">
        <v>1</v>
      </c>
      <c r="C4" s="40" t="n">
        <v>0</v>
      </c>
      <c r="D4" s="39" t="s">
        <v>16</v>
      </c>
    </row>
    <row r="5" customFormat="false" ht="15" hidden="false" customHeight="false" outlineLevel="0" collapsed="false">
      <c r="A5" s="41" t="s">
        <v>139</v>
      </c>
      <c r="B5" s="42" t="n">
        <v>4</v>
      </c>
      <c r="C5" s="43" t="n">
        <v>1.5</v>
      </c>
      <c r="D5" s="42" t="s">
        <v>20</v>
      </c>
    </row>
    <row r="6" customFormat="false" ht="15" hidden="false" customHeight="false" outlineLevel="0" collapsed="false">
      <c r="A6" s="44" t="s">
        <v>140</v>
      </c>
      <c r="B6" s="39" t="n">
        <v>7</v>
      </c>
      <c r="C6" s="40" t="n">
        <v>2.71</v>
      </c>
      <c r="D6" s="39" t="s">
        <v>22</v>
      </c>
    </row>
    <row r="7" customFormat="false" ht="15" hidden="false" customHeight="false" outlineLevel="0" collapsed="false">
      <c r="A7" s="45" t="s">
        <v>141</v>
      </c>
      <c r="B7" s="42" t="n">
        <v>4</v>
      </c>
      <c r="C7" s="43" t="n">
        <v>2</v>
      </c>
      <c r="D7" s="42" t="s">
        <v>20</v>
      </c>
    </row>
    <row r="8" customFormat="false" ht="15" hidden="false" customHeight="false" outlineLevel="0" collapsed="false">
      <c r="A8" s="46" t="s">
        <v>142</v>
      </c>
      <c r="B8" s="39" t="n">
        <v>1</v>
      </c>
      <c r="C8" s="40" t="n">
        <v>0</v>
      </c>
      <c r="D8" s="39" t="s">
        <v>16</v>
      </c>
    </row>
    <row r="9" customFormat="false" ht="15" hidden="false" customHeight="false" outlineLevel="0" collapsed="false">
      <c r="A9" s="47" t="s">
        <v>143</v>
      </c>
      <c r="B9" s="42" t="n">
        <v>1</v>
      </c>
      <c r="C9" s="43" t="n">
        <v>0</v>
      </c>
      <c r="D9" s="42" t="s">
        <v>16</v>
      </c>
    </row>
    <row r="10" customFormat="false" ht="15" hidden="false" customHeight="false" outlineLevel="0" collapsed="false">
      <c r="A10" s="48" t="s">
        <v>144</v>
      </c>
      <c r="B10" s="49" t="n">
        <v>18</v>
      </c>
      <c r="C10" s="43" t="n">
        <f aca="false">AVERAGE('Control Mapping'!G3:G20)</f>
        <v>1.83333333333333</v>
      </c>
      <c r="D10" s="50"/>
    </row>
    <row r="28" customFormat="false" ht="15" hidden="false" customHeight="false" outlineLevel="0" collapsed="false">
      <c r="A28" s="6" t="s">
        <v>145</v>
      </c>
    </row>
    <row r="29" customFormat="false" ht="19.5" hidden="false" customHeight="true" outlineLevel="0" collapsed="false">
      <c r="A29" s="17" t="s">
        <v>37</v>
      </c>
      <c r="B29" s="17" t="s">
        <v>36</v>
      </c>
      <c r="C29" s="17" t="s">
        <v>146</v>
      </c>
      <c r="D29" s="17" t="s">
        <v>147</v>
      </c>
    </row>
    <row r="30" customFormat="false" ht="48" hidden="false" customHeight="true" outlineLevel="0" collapsed="false">
      <c r="A30" s="9" t="s">
        <v>45</v>
      </c>
      <c r="B30" s="19" t="s">
        <v>44</v>
      </c>
      <c r="C30" s="10" t="s">
        <v>148</v>
      </c>
      <c r="D30" s="10" t="s">
        <v>149</v>
      </c>
    </row>
    <row r="31" customFormat="false" ht="48" hidden="false" customHeight="true" outlineLevel="0" collapsed="false">
      <c r="A31" s="9" t="s">
        <v>56</v>
      </c>
      <c r="B31" s="30" t="s">
        <v>50</v>
      </c>
      <c r="C31" s="10" t="s">
        <v>150</v>
      </c>
      <c r="D31" s="10" t="s">
        <v>151</v>
      </c>
    </row>
    <row r="32" customFormat="false" ht="48" hidden="false" customHeight="true" outlineLevel="0" collapsed="false">
      <c r="A32" s="9" t="s">
        <v>61</v>
      </c>
      <c r="B32" s="30" t="s">
        <v>50</v>
      </c>
      <c r="C32" s="10" t="s">
        <v>152</v>
      </c>
      <c r="D32" s="10" t="s">
        <v>153</v>
      </c>
    </row>
    <row r="33" customFormat="false" ht="48" hidden="false" customHeight="true" outlineLevel="0" collapsed="false">
      <c r="A33" s="9" t="s">
        <v>77</v>
      </c>
      <c r="B33" s="32" t="s">
        <v>71</v>
      </c>
      <c r="C33" s="10" t="s">
        <v>154</v>
      </c>
      <c r="D33" s="10" t="s">
        <v>155</v>
      </c>
    </row>
    <row r="34" customFormat="false" ht="48" hidden="false" customHeight="true" outlineLevel="0" collapsed="false">
      <c r="A34" s="9" t="s">
        <v>156</v>
      </c>
      <c r="B34" s="34" t="s">
        <v>157</v>
      </c>
      <c r="C34" s="10" t="s">
        <v>158</v>
      </c>
      <c r="D34" s="10" t="s">
        <v>159</v>
      </c>
    </row>
    <row r="35" customFormat="false" ht="48" hidden="false" customHeight="true" outlineLevel="0" collapsed="false">
      <c r="A35" s="9" t="s">
        <v>124</v>
      </c>
      <c r="B35" s="35" t="s">
        <v>123</v>
      </c>
      <c r="C35" s="10" t="s">
        <v>160</v>
      </c>
      <c r="D35" s="10" t="s">
        <v>161</v>
      </c>
    </row>
    <row r="36" customFormat="false" ht="48" hidden="false" customHeight="true" outlineLevel="0" collapsed="false">
      <c r="A36" s="9" t="s">
        <v>129</v>
      </c>
      <c r="B36" s="51" t="s">
        <v>128</v>
      </c>
      <c r="C36" s="10" t="s">
        <v>162</v>
      </c>
      <c r="D36" s="10" t="s">
        <v>163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6" t="s">
        <v>164</v>
      </c>
      <c r="B1" s="16"/>
      <c r="C1" s="16"/>
      <c r="D1" s="16"/>
      <c r="E1" s="16"/>
    </row>
    <row r="2" customFormat="false" ht="15.75" hidden="false" customHeight="true" outlineLevel="0" collapsed="false">
      <c r="A2" s="52" t="s">
        <v>165</v>
      </c>
      <c r="B2" s="52"/>
      <c r="C2" s="52"/>
      <c r="D2" s="52"/>
      <c r="E2" s="52"/>
    </row>
    <row r="4" customFormat="false" ht="19.5" hidden="false" customHeight="true" outlineLevel="0" collapsed="false">
      <c r="A4" s="17" t="s">
        <v>166</v>
      </c>
      <c r="B4" s="17" t="s">
        <v>167</v>
      </c>
      <c r="C4" s="17" t="s">
        <v>168</v>
      </c>
      <c r="D4" s="17" t="s">
        <v>169</v>
      </c>
    </row>
    <row r="5" customFormat="false" ht="33.75" hidden="false" customHeight="true" outlineLevel="0" collapsed="false">
      <c r="A5" s="22" t="s">
        <v>54</v>
      </c>
      <c r="B5" s="49" t="s">
        <v>170</v>
      </c>
      <c r="C5" s="10" t="s">
        <v>171</v>
      </c>
      <c r="D5" s="10" t="s">
        <v>172</v>
      </c>
    </row>
    <row r="6" customFormat="false" ht="33.75" hidden="false" customHeight="true" outlineLevel="0" collapsed="false">
      <c r="A6" s="28" t="s">
        <v>59</v>
      </c>
      <c r="B6" s="53" t="s">
        <v>173</v>
      </c>
      <c r="C6" s="54" t="s">
        <v>174</v>
      </c>
      <c r="D6" s="54" t="s">
        <v>56</v>
      </c>
    </row>
    <row r="7" customFormat="false" ht="33.75" hidden="false" customHeight="true" outlineLevel="0" collapsed="false">
      <c r="A7" s="22" t="s">
        <v>64</v>
      </c>
      <c r="B7" s="49" t="s">
        <v>170</v>
      </c>
      <c r="C7" s="10" t="s">
        <v>175</v>
      </c>
      <c r="D7" s="10" t="s">
        <v>176</v>
      </c>
    </row>
    <row r="8" customFormat="false" ht="33.75" hidden="false" customHeight="true" outlineLevel="0" collapsed="false">
      <c r="A8" s="28" t="s">
        <v>69</v>
      </c>
      <c r="B8" s="53" t="s">
        <v>170</v>
      </c>
      <c r="C8" s="54" t="s">
        <v>177</v>
      </c>
      <c r="D8" s="54" t="s">
        <v>66</v>
      </c>
    </row>
    <row r="9" customFormat="false" ht="33.75" hidden="false" customHeight="true" outlineLevel="0" collapsed="false">
      <c r="A9" s="22" t="s">
        <v>75</v>
      </c>
      <c r="B9" s="49" t="s">
        <v>173</v>
      </c>
      <c r="C9" s="10" t="s">
        <v>178</v>
      </c>
      <c r="D9" s="10" t="s">
        <v>179</v>
      </c>
    </row>
    <row r="10" customFormat="false" ht="33.75" hidden="false" customHeight="true" outlineLevel="0" collapsed="false">
      <c r="A10" s="28" t="s">
        <v>84</v>
      </c>
      <c r="B10" s="53" t="s">
        <v>173</v>
      </c>
      <c r="C10" s="54" t="s">
        <v>180</v>
      </c>
      <c r="D10" s="54" t="s">
        <v>81</v>
      </c>
    </row>
    <row r="11" customFormat="false" ht="33.75" hidden="false" customHeight="true" outlineLevel="0" collapsed="false">
      <c r="A11" s="22" t="s">
        <v>89</v>
      </c>
      <c r="B11" s="49" t="s">
        <v>173</v>
      </c>
      <c r="C11" s="10" t="s">
        <v>181</v>
      </c>
      <c r="D11" s="10" t="s">
        <v>182</v>
      </c>
    </row>
    <row r="12" customFormat="false" ht="33.75" hidden="false" customHeight="true" outlineLevel="0" collapsed="false">
      <c r="A12" s="28" t="s">
        <v>102</v>
      </c>
      <c r="B12" s="53" t="s">
        <v>173</v>
      </c>
      <c r="C12" s="54" t="s">
        <v>183</v>
      </c>
      <c r="D12" s="54" t="s">
        <v>99</v>
      </c>
    </row>
    <row r="13" customFormat="false" ht="33.75" hidden="false" customHeight="true" outlineLevel="0" collapsed="false">
      <c r="A13" s="22" t="s">
        <v>108</v>
      </c>
      <c r="B13" s="49" t="s">
        <v>170</v>
      </c>
      <c r="C13" s="10" t="s">
        <v>184</v>
      </c>
      <c r="D13" s="10" t="s">
        <v>185</v>
      </c>
    </row>
    <row r="14" customFormat="false" ht="33.75" hidden="false" customHeight="true" outlineLevel="0" collapsed="false">
      <c r="A14" s="28" t="s">
        <v>117</v>
      </c>
      <c r="B14" s="53" t="s">
        <v>170</v>
      </c>
      <c r="C14" s="54" t="s">
        <v>186</v>
      </c>
      <c r="D14" s="54" t="s">
        <v>114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2026-07-23T09:21:17Z</dcterms:created>
  <dc:creator>openpyxl</dc:creator>
  <dc:description/>
  <dc:language>en-US</dc:language>
  <cp:lastModifiedBy/>
  <dcterms:modified xsi:type="dcterms:W3CDTF">2026-07-23T09:23:30Z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